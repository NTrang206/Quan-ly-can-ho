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b val="1"/>
      <color rgb="002F5597"/>
      <sz val="11"/>
    </font>
    <font>
      <name val="Segoe UI"/>
      <i val="1"/>
      <color rgb="00595959"/>
      <sz val="9"/>
    </font>
    <font>
      <name val="Segoe UI"/>
      <b val="1"/>
      <sz val="10"/>
    </font>
    <font>
      <name val="Segoe UI"/>
      <sz val="9"/>
    </font>
    <font>
      <name val="Segoe UI"/>
      <b val="1"/>
      <color rgb="001F4E78"/>
      <sz val="18"/>
    </font>
    <font>
      <name val="Segoe UI"/>
      <b val="1"/>
      <color rgb="00595959"/>
      <sz val="9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Segoe UI"/>
        <b val="1"/>
        <color rgb="00276A3C"/>
        <sz val="9"/>
      </font>
      <fill>
        <patternFill patternType="solid">
          <fgColor rgb="00E2EFDA"/>
          <bgColor rgb="00E2EFDA"/>
        </patternFill>
      </fill>
    </dxf>
    <dxf>
      <font>
        <name val="Segoe UI"/>
        <b val="1"/>
        <color rgb="00C65911"/>
        <sz val="9"/>
      </font>
      <fill>
        <patternFill patternType="solid">
          <fgColor rgb="00FCE4D6"/>
          <bgColor rgb="00FCE4D6"/>
        </patternFill>
      </fill>
    </dxf>
    <dxf>
      <font>
        <name val="Segoe UI"/>
        <b val="1"/>
        <color rgb="00B25900"/>
        <sz val="9"/>
      </font>
      <fill>
        <patternFill patternType="solid">
          <fgColor rgb="00FFF2CC"/>
          <bgColor rgb="00FFF2CC"/>
        </patternFill>
      </fill>
    </dxf>
    <dxf>
      <font>
        <name val="Segoe UI"/>
        <b val="1"/>
        <color rgb="00595959"/>
        <sz val="9"/>
      </font>
      <fill>
        <patternFill patternType="solid">
          <fgColor rgb="00F2F2F2"/>
          <bgColor rgb="00F2F2F2"/>
        </patternFill>
      </fill>
    </dxf>
    <dxf>
      <font>
        <name val="Segoe UI"/>
        <b val="1"/>
        <color rgb="001F4E78"/>
        <sz val="9"/>
      </font>
      <fill>
        <patternFill patternType="solid">
          <fgColor rgb="00D9E1F2"/>
          <b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3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</cols>
  <sheetData>
    <row r="1" ht="25" customHeight="1"/>
    <row r="2" ht="28" customHeight="1">
      <c r="B2" s="1" t="inlineStr">
        <is>
          <t>HỆ THỐNG KIỂM THỬ BACKEND TỰ ĐỘNG (API AUTOMATION TEST REPORT)</t>
        </is>
      </c>
    </row>
    <row r="3">
      <c r="B3" s="2" t="inlineStr">
        <is>
          <t>BÁO CÁO KẾT QUẢ KIỂM THỬ CHUẨN DOANH NGHIỆP (LIÊN KẾT SỐ LIỆU ĐỘNG)</t>
        </is>
      </c>
    </row>
    <row r="4">
      <c r="B4" s="3" t="inlineStr">
        <is>
          <t>Dữ liệu tự động cập nhật theo thời gian thực khi Tester / AI Agent thực thi kiểm thử</t>
        </is>
      </c>
    </row>
    <row r="6">
      <c r="B6" s="4" t="inlineStr">
        <is>
          <t>Phân hệ kiểm thử:</t>
        </is>
      </c>
      <c r="D6" s="5" t="inlineStr">
        <is>
          <t>Chờ nạp yêu cầu nghiệp vụ / file Excel</t>
        </is>
      </c>
    </row>
    <row r="7">
      <c r="B7" s="4" t="inlineStr">
        <is>
          <t>Người thực hiện kiểm thử (Tester):</t>
        </is>
      </c>
      <c r="D7" s="5" t="inlineStr">
        <is>
          <t>Automation QA / AI Agent</t>
        </is>
      </c>
    </row>
    <row r="8">
      <c r="B8" s="4" t="inlineStr">
        <is>
          <t>Nhà phát triển phụ trách (Dev):</t>
        </is>
      </c>
      <c r="D8" s="5" t="inlineStr">
        <is>
          <t>Đội ngũ Backend</t>
        </is>
      </c>
    </row>
    <row r="9">
      <c r="B9" s="4" t="inlineStr">
        <is>
          <t>Môi trường kiểm thử:</t>
        </is>
      </c>
      <c r="D9" s="5" t="inlineStr">
        <is>
          <t>Localhost (FastAPI / In-Memory &amp; Live Server)</t>
        </is>
      </c>
    </row>
    <row r="10">
      <c r="B10" s="4" t="inlineStr">
        <is>
          <t>Thời gian thực hiện:</t>
        </is>
      </c>
      <c r="D10" s="5" t="inlineStr">
        <is>
          <t>Chờ thực thi</t>
        </is>
      </c>
    </row>
    <row r="11">
      <c r="B11" s="4" t="inlineStr">
        <is>
          <t>Phạm vi kiểm thử:</t>
        </is>
      </c>
      <c r="D11" s="5" t="inlineStr">
        <is>
          <t>Tự động phát hiện theo Scope</t>
        </is>
      </c>
    </row>
    <row r="13">
      <c r="B13" s="6">
        <f>COUNTA('Test Cases'!D3:D1000)</f>
        <v/>
      </c>
      <c r="D13" s="6">
        <f>COUNTIF('Test Cases'!L3:L1000, "PASS")</f>
        <v/>
      </c>
      <c r="F13" s="6">
        <f>COUNTIF('Test Cases'!L3:L1000, "FAIL")</f>
        <v/>
      </c>
      <c r="H13" s="7">
        <f>IF(B13&gt;0, D13/B13, 0)</f>
        <v/>
      </c>
      <c r="J13" s="6">
        <f>COUNTIF('Test Cases'!L3:L1000, "BLOCKED") + COUNTIF('Test Cases'!L3:L1000, "NOT RUN")</f>
        <v/>
      </c>
    </row>
    <row r="14">
      <c r="B14" s="8" t="inlineStr">
        <is>
          <t>TỔNG TEST CASES</t>
        </is>
      </c>
      <c r="D14" s="8" t="inlineStr">
        <is>
          <t>ĐÃ ĐẠT (PASS)</t>
        </is>
      </c>
      <c r="F14" s="8" t="inlineStr">
        <is>
          <t>THẤT BẠI (FAIL)</t>
        </is>
      </c>
      <c r="H14" s="8" t="inlineStr">
        <is>
          <t>TỶ LỆ ĐẠT (PASS RATE)</t>
        </is>
      </c>
      <c r="J14" s="8" t="inlineStr">
        <is>
          <t>BLOCKED / NOT RUN</t>
        </is>
      </c>
    </row>
    <row r="17">
      <c r="B17" s="4" t="inlineStr">
        <is>
          <t>THỐNG KÊ LỖI PHẦN MỀM (LIÊN KẾT VỚI SHEET 'DEFECT LOG')</t>
        </is>
      </c>
    </row>
    <row r="19">
      <c r="B19" s="6">
        <f>COUNTA('Defect Log'!A3:A1000)</f>
        <v/>
      </c>
      <c r="D19" s="6">
        <f>COUNTIF('Defect Log'!K3:K1000, "OPEN") + COUNTIF('Defect Log'!K3:K1000, "IN PROGRESS") + COUNTIF('Defect Log'!K3:K1000, "REOPENED")</f>
        <v/>
      </c>
      <c r="G19" s="6">
        <f>COUNTIF('Defect Log'!K3:K1000, "CLOSED") + COUNTIF('Defect Log'!K3:K1000, "RESOLVED")</f>
        <v/>
      </c>
      <c r="J19" s="7">
        <f>IF(B19&gt;0, G19/B19, 1)</f>
        <v/>
      </c>
    </row>
    <row r="20">
      <c r="B20" s="8" t="inlineStr">
        <is>
          <t>TỔNG SỐ BUG GHI NHẬN</t>
        </is>
      </c>
      <c r="D20" s="8" t="inlineStr">
        <is>
          <t>BUG ĐANG MỞ (OPEN/IN PROGRESS)</t>
        </is>
      </c>
      <c r="G20" s="8" t="inlineStr">
        <is>
          <t>BUG ĐÃ ĐÓNG (CLOSED/RESOLVED)</t>
        </is>
      </c>
      <c r="J20" s="8" t="inlineStr">
        <is>
          <t>TỶ LỆ GIẢI QUYẾT</t>
        </is>
      </c>
    </row>
  </sheetData>
  <mergeCells count="30">
    <mergeCell ref="D11:F11"/>
    <mergeCell ref="B7:C7"/>
    <mergeCell ref="G19:I19"/>
    <mergeCell ref="J14:K14"/>
    <mergeCell ref="J19:K19"/>
    <mergeCell ref="D7:F7"/>
    <mergeCell ref="J13:K13"/>
    <mergeCell ref="B11:C11"/>
    <mergeCell ref="D13:E13"/>
    <mergeCell ref="D9:F9"/>
    <mergeCell ref="B14:C14"/>
    <mergeCell ref="G20:I20"/>
    <mergeCell ref="D8:F8"/>
    <mergeCell ref="B8:C8"/>
    <mergeCell ref="B13:C13"/>
    <mergeCell ref="J20:K20"/>
    <mergeCell ref="B19:C19"/>
    <mergeCell ref="B10:C10"/>
    <mergeCell ref="F13:G13"/>
    <mergeCell ref="B9:C9"/>
    <mergeCell ref="H13:I13"/>
    <mergeCell ref="D20:F20"/>
    <mergeCell ref="D10:F10"/>
    <mergeCell ref="B6:C6"/>
    <mergeCell ref="D19:F19"/>
    <mergeCell ref="B20:C20"/>
    <mergeCell ref="D14:E14"/>
    <mergeCell ref="F14:G14"/>
    <mergeCell ref="H14:I1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38" customWidth="1" min="8" max="8"/>
    <col width="35" customWidth="1" min="9" max="9"/>
    <col width="42" customWidth="1" min="10" max="10"/>
    <col width="35" customWidth="1" min="11" max="11"/>
    <col width="16" customWidth="1" min="12" max="12"/>
    <col width="18" customWidth="1" min="13" max="13"/>
    <col width="30" customWidth="1" min="14" max="14"/>
  </cols>
  <sheetData>
    <row r="1" ht="25" customHeight="1">
      <c r="A1" s="1" t="inlineStr">
        <is>
          <t>DANH SÁCH CHI TIẾT KỊCH BẢN KIỂM THỬ BACKEND API (TEST CASES MATRIX)</t>
        </is>
      </c>
    </row>
    <row r="2" ht="28" customHeight="1">
      <c r="A2" s="9" t="inlineStr">
        <is>
          <t>STT</t>
        </is>
      </c>
      <c r="B2" s="9" t="inlineStr">
        <is>
          <t>Mã Gói</t>
        </is>
      </c>
      <c r="C2" s="9" t="inlineStr">
        <is>
          <t>Story ID</t>
        </is>
      </c>
      <c r="D2" s="9" t="inlineStr">
        <is>
          <t>Mã Test Case</t>
        </is>
      </c>
      <c r="E2" s="9" t="inlineStr">
        <is>
          <t>Tên Kịch Bản Kiểm Thử</t>
        </is>
      </c>
      <c r="F2" s="9" t="inlineStr">
        <is>
          <t>Mức Ưu Tiên</t>
        </is>
      </c>
      <c r="G2" s="9" t="inlineStr">
        <is>
          <t>Loại Test</t>
        </is>
      </c>
      <c r="H2" s="9" t="inlineStr">
        <is>
          <t>Endpoint &amp; Method</t>
        </is>
      </c>
      <c r="I2" s="9" t="inlineStr">
        <is>
          <t>Dữ Liệu Đầu Vào (Payload)</t>
        </is>
      </c>
      <c r="J2" s="9" t="inlineStr">
        <is>
          <t>Kết Quả Mong Đợi (Expected)</t>
        </is>
      </c>
      <c r="K2" s="9" t="inlineStr">
        <is>
          <t>Kết Quả Thực Tế (Actual)</t>
        </is>
      </c>
      <c r="L2" s="9" t="inlineStr">
        <is>
          <t>Trạng Thái</t>
        </is>
      </c>
      <c r="M2" s="9" t="inlineStr">
        <is>
          <t>Người Test</t>
        </is>
      </c>
      <c r="N2" s="9" t="inlineStr">
        <is>
          <t>Ghi Chú Nghiệp Vụ</t>
        </is>
      </c>
    </row>
  </sheetData>
  <conditionalFormatting sqref="L3:L10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3:F1000" showDropDown="0" showInputMessage="0" showErrorMessage="0" allowBlank="1" promptTitle="Mức Ưu Tiên" prompt="Chọn mức độ ưu tiên từ danh sách" type="list">
      <formula1>"Critical,High,Medium,Low"</formula1>
    </dataValidation>
    <dataValidation sqref="G3:G1000" showDropDown="0" showInputMessage="0" showErrorMessage="0" allowBlank="1" promptTitle="Loại Test" prompt="Chọn loại kiểm thử" type="list">
      <formula1>"Validation,Security,Functional,Database,Business,Schema"</formula1>
    </dataValidation>
    <dataValidation sqref="L3:L1000" showDropDown="0" showInputMessage="0" showErrorMessage="0" allowBlank="1" errorTitle="Sai Trạng Thái" error="Trạng thái bắt buộc phải là: PASS, FAIL, BLOCKED hoặc NOT RUN" promptTitle="Trạng Thái Kiểm Thử" prompt="Chọn kết quả test: PASS, FAIL, BLOCKED hoặc NOT RUN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8" customWidth="1" min="4" max="4"/>
    <col width="14" customWidth="1" min="5" max="5"/>
    <col width="35" customWidth="1" min="6" max="6"/>
    <col width="30" customWidth="1" min="7" max="7"/>
    <col width="30" customWidth="1" min="8" max="8"/>
    <col width="18" customWidth="1" min="9" max="9"/>
    <col width="16" customWidth="1" min="10" max="10"/>
    <col width="16" customWidth="1" min="11" max="11"/>
    <col width="14" customWidth="1" min="12" max="12"/>
  </cols>
  <sheetData>
    <row r="1" ht="25" customHeight="1">
      <c r="A1" s="1" t="inlineStr">
        <is>
          <t>BẢNG QUẢN LÝ VÀ THEO DÕI LỖI PHẦN MỀM (DEFECT TRACKING LOG)</t>
        </is>
      </c>
    </row>
    <row r="2" ht="28" customHeight="1">
      <c r="A2" s="9" t="inlineStr">
        <is>
          <t>Mã Bug</t>
        </is>
      </c>
      <c r="B2" s="9" t="inlineStr">
        <is>
          <t>Thuộc Test Case</t>
        </is>
      </c>
      <c r="C2" s="9" t="inlineStr">
        <is>
          <t>Tiêu Đề / Mô Tả Ngắn Lỗi</t>
        </is>
      </c>
      <c r="D2" s="9" t="inlineStr">
        <is>
          <t>Mức Nghiêm Trọng (Severity)</t>
        </is>
      </c>
      <c r="E2" s="9" t="inlineStr">
        <is>
          <t>Mức Ưu Tiên (Priority)</t>
        </is>
      </c>
      <c r="F2" s="9" t="inlineStr">
        <is>
          <t>Các Bước Tái Hiện Lỗi (Steps)</t>
        </is>
      </c>
      <c r="G2" s="9" t="inlineStr">
        <is>
          <t>Kết Quả Thực Tế (Actual)</t>
        </is>
      </c>
      <c r="H2" s="9" t="inlineStr">
        <is>
          <t>Kết Quả Kỳ Vọng (Expected)</t>
        </is>
      </c>
      <c r="I2" s="9" t="inlineStr">
        <is>
          <t>Người Phát Hiện</t>
        </is>
      </c>
      <c r="J2" s="9" t="inlineStr">
        <is>
          <t>Dev Phụ Trách</t>
        </is>
      </c>
      <c r="K2" s="9" t="inlineStr">
        <is>
          <t>Trạng Thái</t>
        </is>
      </c>
      <c r="L2" s="9" t="inlineStr">
        <is>
          <t>Ngày Đóng</t>
        </is>
      </c>
    </row>
  </sheetData>
  <conditionalFormatting sqref="K3:K1000">
    <cfRule type="cellIs" priority="1" operator="equal" dxfId="1">
      <formula>"OPEN"</formula>
    </cfRule>
    <cfRule type="cellIs" priority="2" operator="equal" dxfId="1">
      <formula>"REOPENED"</formula>
    </cfRule>
    <cfRule type="cellIs" priority="3" operator="equal" dxfId="0">
      <formula>"CLOSED"</formula>
    </cfRule>
    <cfRule type="cellIs" priority="4" operator="equal" dxfId="0">
      <formula>"RESOLVED"</formula>
    </cfRule>
    <cfRule type="cellIs" priority="5" operator="equal" dxfId="4">
      <formula>"IN PROGRESS"</formula>
    </cfRule>
  </conditionalFormatting>
  <dataValidations count="3">
    <dataValidation sqref="D3:D1000" showDropDown="0" showInputMessage="0" showErrorMessage="0" allowBlank="1" type="list">
      <formula1>"Critical,Major,Minor,Trivial"</formula1>
    </dataValidation>
    <dataValidation sqref="E3:E1000" showDropDown="0" showInputMessage="0" showErrorMessage="0" allowBlank="1" type="list">
      <formula1>"High,Medium,Low"</formula1>
    </dataValidation>
    <dataValidation sqref="K3:K1000" showDropDown="0" showInputMessage="0" showErrorMessage="0" allowBlank="1" type="list">
      <formula1>"OPEN,IN PROGRESS,RESOLVED,CLOSED,REOPENED"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2026-09-29T10:07:12Z</dcterms:created>
  <dcterms:modified xmlns:dcterms="http://purl.org/dc/terms/" xmlns:xsi="http://www.w3.org/2001/XMLSchema-instance" xsi:type="dcterms:W3CDTF">2026-09-29T12:02:31Z</dcterms:modified>
</cp:coreProperties>
</file>